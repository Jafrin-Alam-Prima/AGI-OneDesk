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E:\E\E\AOPL\2026\KPI\Aug-26\"/>
    </mc:Choice>
  </mc:AlternateContent>
  <xr:revisionPtr revIDLastSave="0" documentId="8_{36365CBF-1FF6-427E-9AE5-3065B06DF9C7}" xr6:coauthVersionLast="47" xr6:coauthVersionMax="47" xr10:uidLastSave="{00000000-0000-0000-0000-000000000000}"/>
  <bookViews>
    <workbookView xWindow="-120" yWindow="-120" windowWidth="20730" windowHeight="11040" xr2:uid="{00000000-000D-0000-FFFF-FFFF00000000}"/>
  </bookViews>
  <sheets>
    <sheet name="July'26"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3" l="1"/>
  <c r="G11" i="3"/>
  <c r="G12" i="3"/>
  <c r="D13" i="3"/>
  <c r="A12" i="3"/>
  <c r="F13" i="3" l="1"/>
  <c r="E13" i="3"/>
  <c r="H12" i="3"/>
  <c r="H13" i="3" l="1"/>
  <c r="G13" i="3"/>
</calcChain>
</file>

<file path=xl/sharedStrings.xml><?xml version="1.0" encoding="utf-8"?>
<sst xmlns="http://schemas.openxmlformats.org/spreadsheetml/2006/main" count="33" uniqueCount="33">
  <si>
    <t>ANWAR GROUP OF INDUSTRIES</t>
  </si>
  <si>
    <t xml:space="preserve">Employee Name : </t>
  </si>
  <si>
    <t>Golam Sarwar Gazi</t>
  </si>
  <si>
    <t xml:space="preserve">Employee ID : </t>
  </si>
  <si>
    <t>Current Designation :</t>
  </si>
  <si>
    <t xml:space="preserve">Department : </t>
  </si>
  <si>
    <t>SL</t>
  </si>
  <si>
    <t>Key Result Areas (KRA)/Perspectives</t>
  </si>
  <si>
    <t xml:space="preserve">Action Plan </t>
  </si>
  <si>
    <t>Weightage</t>
  </si>
  <si>
    <t>Monthly Target</t>
  </si>
  <si>
    <t>Monthly achivement</t>
  </si>
  <si>
    <t>Monthly Achivement %</t>
  </si>
  <si>
    <t>Score</t>
  </si>
  <si>
    <t>A</t>
  </si>
  <si>
    <t>B</t>
  </si>
  <si>
    <t>C</t>
  </si>
  <si>
    <t>D=C/B</t>
  </si>
  <si>
    <t>E=(A*D)</t>
  </si>
  <si>
    <t>Total Marks</t>
  </si>
  <si>
    <t>Avail Grade based on achived mark</t>
  </si>
  <si>
    <t>LM Signature</t>
  </si>
  <si>
    <t>HOD,HR Signature</t>
  </si>
  <si>
    <t>Financial Perspective (Sales Achievement AOPL)</t>
  </si>
  <si>
    <t>Business Development</t>
  </si>
  <si>
    <t>B+</t>
  </si>
  <si>
    <t>Assistant Manager, Business Analyst</t>
  </si>
  <si>
    <t>Sales and Marketing</t>
  </si>
  <si>
    <t>*Sales Target vs Achievement (AOPL)- Lion</t>
  </si>
  <si>
    <t>COO</t>
  </si>
  <si>
    <t>HOD Signature</t>
  </si>
  <si>
    <t>Variable Income monthly KPI-Aug'26</t>
  </si>
  <si>
    <t xml:space="preserve">1) Sales Forecasting
2) Secondary and Tertiary Target setup with activity target setup
3) Market Development plan for untapped and potential market
4) Retail IHB and Primary sales target set up for next four months
5) Active dealer, retailer and IHB target set for next 4 months
6) item and category wise analysis. Target setup for next four konths for 20% market share
7) KPI tracker set for next four months
8) Outcome based KPI set for cross functional department
9) Presentation for Courthouse meeting
10) Presentation preparation for 20% market share
11) Special incentive design for sales team for 20% market share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</si>
</sst>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0"/>
      <color rgb="FF000000"/>
      <name val="Arial"/>
      <scheme val="minor"/>
    </font>
    <font>
      <sz val="10"/>
      <color rgb="FF000000"/>
      <name val="Arial"/>
      <family val="2"/>
      <scheme val="minor"/>
    </font>
    <font>
      <b/>
      <sz val="12"/>
      <color theme="1"/>
      <name val="Calibri"/>
      <family val="2"/>
    </font>
    <font>
      <sz val="11"/>
      <color rgb="FF000000"/>
      <name val="Arial"/>
      <family val="2"/>
      <scheme val="minor"/>
    </font>
    <font>
      <b/>
      <sz val="12"/>
      <color rgb="FF0000FF"/>
      <name val="Calibri"/>
      <family val="2"/>
    </font>
    <font>
      <sz val="12"/>
      <name val="Arial"/>
      <family val="2"/>
    </font>
    <font>
      <sz val="12"/>
      <color theme="1"/>
      <name val="Arial"/>
      <family val="2"/>
    </font>
    <font>
      <b/>
      <sz val="12"/>
      <color theme="1"/>
      <name val="Arial"/>
      <family val="2"/>
    </font>
    <font>
      <sz val="12"/>
      <color theme="1"/>
      <name val="Calibri"/>
      <family val="2"/>
    </font>
    <font>
      <b/>
      <sz val="12"/>
      <color rgb="FF333333"/>
      <name val="Calibri"/>
      <family val="2"/>
    </font>
    <font>
      <sz val="12"/>
      <color rgb="FF000000"/>
      <name val="Arial"/>
      <family val="2"/>
      <scheme val="minor"/>
    </font>
  </fonts>
  <fills count="7">
    <fill>
      <patternFill patternType="none"/>
    </fill>
    <fill>
      <patternFill patternType="gray125"/>
    </fill>
    <fill>
      <patternFill patternType="solid">
        <fgColor rgb="FFFFFFFF"/>
        <bgColor rgb="FFFFFFFF"/>
      </patternFill>
    </fill>
    <fill>
      <patternFill patternType="solid">
        <fgColor rgb="FFB6D7A8"/>
        <bgColor rgb="FFB6D7A8"/>
      </patternFill>
    </fill>
    <fill>
      <patternFill patternType="solid">
        <fgColor rgb="FFD8E4BC"/>
        <bgColor rgb="FFD8E4BC"/>
      </patternFill>
    </fill>
    <fill>
      <patternFill patternType="solid">
        <fgColor rgb="FFD9D9D9"/>
        <bgColor rgb="FFD9D9D9"/>
      </patternFill>
    </fill>
    <fill>
      <patternFill patternType="solid">
        <fgColor rgb="FFDDD9C4"/>
        <bgColor rgb="FFDDD9C4"/>
      </patternFill>
    </fill>
  </fills>
  <borders count="2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82">
    <xf numFmtId="0" fontId="0" fillId="0" borderId="0" xfId="0"/>
    <xf numFmtId="0" fontId="3" fillId="0" borderId="0" xfId="0" applyFont="1"/>
    <xf numFmtId="0" fontId="6" fillId="0" borderId="1" xfId="0" applyFont="1" applyBorder="1" applyAlignment="1">
      <alignment horizontal="left" vertical="center"/>
    </xf>
    <xf numFmtId="0" fontId="6" fillId="0" borderId="2" xfId="0" applyFont="1" applyBorder="1" applyAlignment="1">
      <alignment horizontal="left" vertical="center"/>
    </xf>
    <xf numFmtId="0" fontId="6" fillId="0" borderId="2" xfId="0" applyFont="1" applyBorder="1" applyAlignment="1">
      <alignment vertical="center"/>
    </xf>
    <xf numFmtId="0" fontId="6" fillId="0" borderId="3" xfId="0" applyFont="1" applyBorder="1" applyAlignment="1">
      <alignment vertical="center"/>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8" xfId="0" applyFont="1" applyBorder="1" applyAlignment="1">
      <alignment vertical="center"/>
    </xf>
    <xf numFmtId="0" fontId="6" fillId="0" borderId="9" xfId="0" applyFont="1" applyBorder="1" applyAlignment="1">
      <alignment vertical="center"/>
    </xf>
    <xf numFmtId="0" fontId="6" fillId="0" borderId="4" xfId="0" applyFont="1" applyBorder="1" applyAlignment="1">
      <alignment horizontal="left" vertical="center"/>
    </xf>
    <xf numFmtId="0" fontId="6" fillId="0" borderId="5" xfId="0" applyFont="1" applyBorder="1" applyAlignment="1">
      <alignment horizontal="left" vertical="center"/>
    </xf>
    <xf numFmtId="0" fontId="6" fillId="0" borderId="5" xfId="0" applyFont="1" applyBorder="1" applyAlignment="1">
      <alignment vertical="center"/>
    </xf>
    <xf numFmtId="0" fontId="6" fillId="0" borderId="6" xfId="0" applyFont="1" applyBorder="1" applyAlignment="1">
      <alignment vertical="center"/>
    </xf>
    <xf numFmtId="0" fontId="6" fillId="0" borderId="10" xfId="0" applyFont="1" applyBorder="1" applyAlignment="1">
      <alignment vertical="center"/>
    </xf>
    <xf numFmtId="0" fontId="6" fillId="0" borderId="0" xfId="0" applyFont="1" applyAlignment="1">
      <alignment horizontal="left" vertical="center"/>
    </xf>
    <xf numFmtId="0" fontId="6" fillId="0" borderId="0" xfId="0" applyFont="1" applyAlignment="1">
      <alignment vertical="center"/>
    </xf>
    <xf numFmtId="0" fontId="6" fillId="0" borderId="11" xfId="0" applyFont="1" applyBorder="1" applyAlignment="1">
      <alignment vertical="center"/>
    </xf>
    <xf numFmtId="0" fontId="6" fillId="0" borderId="4" xfId="0" applyFont="1" applyBorder="1" applyAlignment="1">
      <alignment vertical="center"/>
    </xf>
    <xf numFmtId="0" fontId="2" fillId="4" borderId="6" xfId="0" applyFont="1" applyFill="1" applyBorder="1" applyAlignment="1">
      <alignment horizontal="center" vertical="center"/>
    </xf>
    <xf numFmtId="0" fontId="2" fillId="5" borderId="6" xfId="0" applyFont="1" applyFill="1" applyBorder="1" applyAlignment="1">
      <alignment horizontal="center" vertical="center"/>
    </xf>
    <xf numFmtId="0" fontId="2" fillId="2" borderId="6" xfId="0" applyFont="1" applyFill="1" applyBorder="1" applyAlignment="1">
      <alignment horizontal="left" vertical="center" wrapText="1"/>
    </xf>
    <xf numFmtId="0" fontId="8" fillId="2" borderId="14" xfId="0" applyFont="1" applyFill="1" applyBorder="1" applyAlignment="1">
      <alignment horizontal="left" vertical="center" wrapText="1"/>
    </xf>
    <xf numFmtId="9" fontId="8" fillId="2" borderId="14" xfId="1" applyFont="1" applyFill="1" applyBorder="1" applyAlignment="1">
      <alignment horizontal="center" vertical="center" wrapText="1"/>
    </xf>
    <xf numFmtId="0" fontId="8" fillId="2" borderId="14" xfId="0" applyFont="1" applyFill="1" applyBorder="1" applyAlignment="1">
      <alignment horizontal="center" vertical="center" wrapText="1"/>
    </xf>
    <xf numFmtId="164" fontId="8" fillId="2" borderId="14" xfId="1" applyNumberFormat="1" applyFont="1" applyFill="1" applyBorder="1" applyAlignment="1">
      <alignment horizontal="center" vertical="center" wrapText="1"/>
    </xf>
    <xf numFmtId="0" fontId="2" fillId="0" borderId="13" xfId="0" applyFont="1" applyBorder="1" applyAlignment="1">
      <alignment horizontal="center" vertical="center"/>
    </xf>
    <xf numFmtId="0" fontId="9" fillId="0" borderId="6" xfId="0" applyFont="1" applyBorder="1" applyAlignment="1">
      <alignment horizontal="left" vertical="center"/>
    </xf>
    <xf numFmtId="0" fontId="8" fillId="2" borderId="14" xfId="0" applyFont="1" applyFill="1" applyBorder="1" applyAlignment="1">
      <alignment vertical="center" wrapText="1"/>
    </xf>
    <xf numFmtId="0" fontId="2" fillId="6" borderId="6" xfId="0" applyFont="1" applyFill="1" applyBorder="1" applyAlignment="1">
      <alignment horizontal="center" vertical="center"/>
    </xf>
    <xf numFmtId="9" fontId="7" fillId="6" borderId="14" xfId="0" applyNumberFormat="1" applyFont="1" applyFill="1" applyBorder="1" applyAlignment="1">
      <alignment horizontal="center" vertical="center"/>
    </xf>
    <xf numFmtId="0" fontId="2" fillId="6" borderId="14" xfId="0" applyFont="1" applyFill="1" applyBorder="1" applyAlignment="1">
      <alignment horizontal="center" vertical="center"/>
    </xf>
    <xf numFmtId="9" fontId="2" fillId="6" borderId="14" xfId="0" applyNumberFormat="1" applyFont="1" applyFill="1" applyBorder="1" applyAlignment="1">
      <alignment horizontal="center" vertical="center"/>
    </xf>
    <xf numFmtId="0" fontId="6" fillId="2" borderId="5" xfId="0" applyFont="1" applyFill="1" applyBorder="1" applyAlignment="1">
      <alignment vertical="center"/>
    </xf>
    <xf numFmtId="0" fontId="6" fillId="2" borderId="6" xfId="0" applyFont="1" applyFill="1" applyBorder="1" applyAlignment="1">
      <alignment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6" fillId="2" borderId="1" xfId="0" applyFont="1" applyFill="1" applyBorder="1" applyAlignment="1">
      <alignment vertical="center"/>
    </xf>
    <xf numFmtId="0" fontId="6" fillId="2" borderId="2" xfId="0" applyFont="1" applyFill="1" applyBorder="1" applyAlignment="1">
      <alignment horizontal="left" vertical="center"/>
    </xf>
    <xf numFmtId="0" fontId="6" fillId="2" borderId="2" xfId="0" applyFont="1" applyFill="1" applyBorder="1" applyAlignment="1">
      <alignment vertical="center"/>
    </xf>
    <xf numFmtId="0" fontId="6" fillId="2" borderId="3" xfId="0" applyFont="1" applyFill="1" applyBorder="1" applyAlignment="1">
      <alignment vertical="center"/>
    </xf>
    <xf numFmtId="0" fontId="6" fillId="2" borderId="10" xfId="0" applyFont="1" applyFill="1" applyBorder="1" applyAlignment="1">
      <alignment vertical="center"/>
    </xf>
    <xf numFmtId="0" fontId="6" fillId="2" borderId="0" xfId="0" applyFont="1" applyFill="1" applyAlignment="1">
      <alignment horizontal="left" vertical="center"/>
    </xf>
    <xf numFmtId="0" fontId="6" fillId="2" borderId="0" xfId="0" applyFont="1" applyFill="1" applyAlignment="1">
      <alignment vertical="center"/>
    </xf>
    <xf numFmtId="0" fontId="6" fillId="2" borderId="11" xfId="0" applyFont="1" applyFill="1" applyBorder="1" applyAlignment="1">
      <alignment vertical="center"/>
    </xf>
    <xf numFmtId="0" fontId="2" fillId="2" borderId="0" xfId="0" applyFont="1" applyFill="1" applyAlignment="1">
      <alignment vertical="center"/>
    </xf>
    <xf numFmtId="0" fontId="10" fillId="0" borderId="0" xfId="0" applyFont="1"/>
    <xf numFmtId="0" fontId="10" fillId="0" borderId="0" xfId="0" applyFont="1" applyAlignment="1">
      <alignment horizontal="left"/>
    </xf>
    <xf numFmtId="164" fontId="2" fillId="6" borderId="14" xfId="0" applyNumberFormat="1" applyFont="1" applyFill="1" applyBorder="1" applyAlignment="1">
      <alignment horizontal="center" vertical="center"/>
    </xf>
    <xf numFmtId="0" fontId="2" fillId="0" borderId="12" xfId="0" applyFont="1" applyBorder="1" applyAlignment="1">
      <alignment horizontal="center" vertical="center"/>
    </xf>
    <xf numFmtId="0" fontId="2" fillId="0" borderId="0" xfId="0" applyFont="1" applyAlignment="1">
      <alignment horizontal="center" vertical="center"/>
    </xf>
    <xf numFmtId="0" fontId="6" fillId="0" borderId="15" xfId="0" applyFont="1" applyBorder="1"/>
    <xf numFmtId="0" fontId="6" fillId="0" borderId="16" xfId="0" applyFont="1" applyBorder="1" applyAlignment="1">
      <alignment horizontal="left"/>
    </xf>
    <xf numFmtId="0" fontId="6" fillId="0" borderId="16" xfId="0" applyFont="1" applyBorder="1"/>
    <xf numFmtId="0" fontId="6" fillId="0" borderId="17" xfId="0" applyFont="1" applyBorder="1"/>
    <xf numFmtId="0" fontId="6" fillId="0" borderId="18" xfId="0" applyFont="1" applyBorder="1"/>
    <xf numFmtId="0" fontId="6" fillId="0" borderId="0" xfId="0" applyFont="1" applyAlignment="1">
      <alignment horizontal="left"/>
    </xf>
    <xf numFmtId="0" fontId="6" fillId="0" borderId="0" xfId="0" applyFont="1"/>
    <xf numFmtId="0" fontId="6" fillId="0" borderId="19" xfId="0" applyFont="1" applyBorder="1"/>
    <xf numFmtId="0" fontId="6" fillId="0" borderId="20" xfId="0" applyFont="1" applyBorder="1"/>
    <xf numFmtId="0" fontId="6" fillId="0" borderId="21" xfId="0" applyFont="1" applyBorder="1" applyAlignment="1">
      <alignment horizontal="left"/>
    </xf>
    <xf numFmtId="0" fontId="6" fillId="0" borderId="21" xfId="0" applyFont="1" applyBorder="1"/>
    <xf numFmtId="0" fontId="6" fillId="0" borderId="22" xfId="0" applyFont="1" applyBorder="1"/>
    <xf numFmtId="0" fontId="7" fillId="3" borderId="11" xfId="0" applyFont="1" applyFill="1" applyBorder="1" applyAlignment="1">
      <alignment horizontal="center" vertical="center"/>
    </xf>
    <xf numFmtId="0" fontId="5" fillId="0" borderId="6" xfId="0" applyFont="1" applyBorder="1" applyAlignment="1">
      <alignment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5" fillId="0" borderId="2" xfId="0" applyFont="1" applyBorder="1" applyAlignment="1">
      <alignment vertical="center"/>
    </xf>
    <xf numFmtId="0" fontId="5" fillId="0" borderId="3" xfId="0" applyFont="1" applyBorder="1" applyAlignment="1">
      <alignment vertical="center"/>
    </xf>
    <xf numFmtId="0" fontId="2" fillId="2" borderId="4" xfId="0" applyFont="1" applyFill="1" applyBorder="1" applyAlignment="1">
      <alignment horizontal="center" vertical="center"/>
    </xf>
    <xf numFmtId="0" fontId="5" fillId="0" borderId="5" xfId="0" applyFont="1" applyBorder="1" applyAlignment="1">
      <alignment vertical="center"/>
    </xf>
    <xf numFmtId="0" fontId="4" fillId="0" borderId="4" xfId="0" applyFont="1" applyBorder="1" applyAlignment="1">
      <alignment vertical="center"/>
    </xf>
    <xf numFmtId="0" fontId="4" fillId="0" borderId="4" xfId="0" applyFont="1" applyBorder="1" applyAlignment="1">
      <alignment vertical="center" wrapText="1"/>
    </xf>
    <xf numFmtId="0" fontId="2" fillId="6" borderId="4" xfId="0" applyFont="1" applyFill="1" applyBorder="1" applyAlignment="1">
      <alignment horizontal="center" vertical="center"/>
    </xf>
    <xf numFmtId="0" fontId="2" fillId="2" borderId="4" xfId="0" applyFont="1" applyFill="1" applyBorder="1" applyAlignment="1">
      <alignment vertical="center"/>
    </xf>
    <xf numFmtId="0" fontId="2" fillId="0" borderId="0" xfId="0" applyFont="1" applyAlignment="1">
      <alignment vertical="center"/>
    </xf>
    <xf numFmtId="0" fontId="10" fillId="0" borderId="0" xfId="0" applyFont="1" applyAlignment="1">
      <alignment vertical="center"/>
    </xf>
    <xf numFmtId="0" fontId="2" fillId="3" borderId="12" xfId="0" applyFont="1" applyFill="1" applyBorder="1" applyAlignment="1">
      <alignment horizontal="center" vertical="center"/>
    </xf>
    <xf numFmtId="0" fontId="5" fillId="0" borderId="13" xfId="0" applyFont="1" applyBorder="1" applyAlignment="1">
      <alignment vertical="center"/>
    </xf>
    <xf numFmtId="0" fontId="2" fillId="3" borderId="11" xfId="0" applyFont="1" applyFill="1" applyBorder="1" applyAlignment="1">
      <alignment horizontal="left" vertical="center"/>
    </xf>
    <xf numFmtId="0" fontId="5" fillId="0" borderId="6" xfId="0" applyFont="1" applyBorder="1" applyAlignment="1">
      <alignment horizontal="lef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22"/>
  <sheetViews>
    <sheetView showGridLines="0" tabSelected="1" topLeftCell="A5" zoomScale="71" zoomScaleNormal="71" workbookViewId="0">
      <selection activeCell="D11" sqref="D11"/>
    </sheetView>
  </sheetViews>
  <sheetFormatPr defaultColWidth="12.5703125" defaultRowHeight="15.75" customHeight="1" x14ac:dyDescent="0.2"/>
  <cols>
    <col min="1" max="1" width="3.42578125" style="47" bestFit="1" customWidth="1"/>
    <col min="2" max="2" width="37.140625" style="48" bestFit="1" customWidth="1"/>
    <col min="3" max="3" width="64.28515625" style="47" bestFit="1" customWidth="1"/>
    <col min="4" max="4" width="11.5703125" style="47" bestFit="1" customWidth="1"/>
    <col min="5" max="5" width="16.42578125" style="47" bestFit="1" customWidth="1"/>
    <col min="6" max="6" width="21.85546875" style="47" bestFit="1" customWidth="1"/>
    <col min="7" max="7" width="24.42578125" style="47" bestFit="1" customWidth="1"/>
    <col min="8" max="8" width="8.7109375" style="47" bestFit="1" customWidth="1"/>
  </cols>
  <sheetData>
    <row r="1" spans="1:8" s="1" customFormat="1" x14ac:dyDescent="0.2">
      <c r="A1" s="67" t="s">
        <v>0</v>
      </c>
      <c r="B1" s="68"/>
      <c r="C1" s="68"/>
      <c r="D1" s="68"/>
      <c r="E1" s="68"/>
      <c r="F1" s="68"/>
      <c r="G1" s="68"/>
      <c r="H1" s="69"/>
    </row>
    <row r="2" spans="1:8" s="1" customFormat="1" x14ac:dyDescent="0.2">
      <c r="A2" s="70" t="s">
        <v>31</v>
      </c>
      <c r="B2" s="71"/>
      <c r="C2" s="71"/>
      <c r="D2" s="71"/>
      <c r="E2" s="71"/>
      <c r="F2" s="71"/>
      <c r="G2" s="71"/>
      <c r="H2" s="65"/>
    </row>
    <row r="3" spans="1:8" s="1" customFormat="1" x14ac:dyDescent="0.2">
      <c r="A3" s="72" t="s">
        <v>1</v>
      </c>
      <c r="B3" s="65"/>
      <c r="C3" s="2" t="s">
        <v>2</v>
      </c>
      <c r="D3" s="3"/>
      <c r="E3" s="4"/>
      <c r="F3" s="4"/>
      <c r="G3" s="4"/>
      <c r="H3" s="5"/>
    </row>
    <row r="4" spans="1:8" s="1" customFormat="1" x14ac:dyDescent="0.2">
      <c r="A4" s="72" t="s">
        <v>3</v>
      </c>
      <c r="B4" s="65"/>
      <c r="C4" s="6">
        <v>13811</v>
      </c>
      <c r="D4" s="7"/>
      <c r="E4" s="8"/>
      <c r="F4" s="8"/>
      <c r="G4" s="8"/>
      <c r="H4" s="9"/>
    </row>
    <row r="5" spans="1:8" s="1" customFormat="1" ht="15" x14ac:dyDescent="0.2">
      <c r="A5" s="73" t="s">
        <v>4</v>
      </c>
      <c r="B5" s="65"/>
      <c r="C5" s="10" t="s">
        <v>26</v>
      </c>
      <c r="D5" s="11"/>
      <c r="E5" s="12"/>
      <c r="F5" s="12"/>
      <c r="G5" s="12"/>
      <c r="H5" s="13"/>
    </row>
    <row r="6" spans="1:8" s="1" customFormat="1" x14ac:dyDescent="0.2">
      <c r="A6" s="72" t="s">
        <v>5</v>
      </c>
      <c r="B6" s="65"/>
      <c r="C6" s="6" t="s">
        <v>27</v>
      </c>
      <c r="D6" s="7"/>
      <c r="E6" s="8"/>
      <c r="F6" s="8"/>
      <c r="G6" s="8"/>
      <c r="H6" s="9"/>
    </row>
    <row r="7" spans="1:8" ht="15" x14ac:dyDescent="0.2">
      <c r="A7" s="14"/>
      <c r="B7" s="15"/>
      <c r="C7" s="16"/>
      <c r="D7" s="16"/>
      <c r="E7" s="16"/>
      <c r="F7" s="16"/>
      <c r="G7" s="16"/>
      <c r="H7" s="17"/>
    </row>
    <row r="8" spans="1:8" ht="15" x14ac:dyDescent="0.2">
      <c r="A8" s="18"/>
      <c r="B8" s="11"/>
      <c r="C8" s="12"/>
      <c r="D8" s="12"/>
      <c r="E8" s="12"/>
      <c r="F8" s="12"/>
      <c r="G8" s="12"/>
      <c r="H8" s="13"/>
    </row>
    <row r="9" spans="1:8" x14ac:dyDescent="0.2">
      <c r="A9" s="78" t="s">
        <v>6</v>
      </c>
      <c r="B9" s="80" t="s">
        <v>7</v>
      </c>
      <c r="C9" s="64" t="s">
        <v>8</v>
      </c>
      <c r="D9" s="19" t="s">
        <v>9</v>
      </c>
      <c r="E9" s="19" t="s">
        <v>10</v>
      </c>
      <c r="F9" s="19" t="s">
        <v>11</v>
      </c>
      <c r="G9" s="19" t="s">
        <v>12</v>
      </c>
      <c r="H9" s="19" t="s">
        <v>13</v>
      </c>
    </row>
    <row r="10" spans="1:8" x14ac:dyDescent="0.2">
      <c r="A10" s="79"/>
      <c r="B10" s="81"/>
      <c r="C10" s="65"/>
      <c r="D10" s="20" t="s">
        <v>14</v>
      </c>
      <c r="E10" s="20" t="s">
        <v>15</v>
      </c>
      <c r="F10" s="20" t="s">
        <v>16</v>
      </c>
      <c r="G10" s="20" t="s">
        <v>17</v>
      </c>
      <c r="H10" s="20" t="s">
        <v>18</v>
      </c>
    </row>
    <row r="11" spans="1:8" ht="53.1" customHeight="1" x14ac:dyDescent="0.2">
      <c r="A11" s="50">
        <v>1</v>
      </c>
      <c r="B11" s="21" t="s">
        <v>23</v>
      </c>
      <c r="C11" s="22" t="s">
        <v>28</v>
      </c>
      <c r="D11" s="23">
        <v>0.4</v>
      </c>
      <c r="E11" s="24">
        <v>49.16</v>
      </c>
      <c r="F11" s="24">
        <v>44.42</v>
      </c>
      <c r="G11" s="23">
        <f>F11/E11</f>
        <v>0.90358014646053708</v>
      </c>
      <c r="H11" s="25">
        <f xml:space="preserve"> D11 * MIN(G11,1)</f>
        <v>0.36143205858421484</v>
      </c>
    </row>
    <row r="12" spans="1:8" ht="204.75" x14ac:dyDescent="0.2">
      <c r="A12" s="26">
        <f>A11+1</f>
        <v>2</v>
      </c>
      <c r="B12" s="27" t="s">
        <v>24</v>
      </c>
      <c r="C12" s="28" t="s">
        <v>32</v>
      </c>
      <c r="D12" s="23">
        <v>0.6</v>
      </c>
      <c r="E12" s="24">
        <v>100</v>
      </c>
      <c r="F12" s="24">
        <v>88</v>
      </c>
      <c r="G12" s="23">
        <f>F12/E12</f>
        <v>0.88</v>
      </c>
      <c r="H12" s="23">
        <f t="shared" ref="H12" si="0">D12*G12</f>
        <v>0.52800000000000002</v>
      </c>
    </row>
    <row r="13" spans="1:8" x14ac:dyDescent="0.2">
      <c r="A13" s="74" t="s">
        <v>19</v>
      </c>
      <c r="B13" s="65"/>
      <c r="C13" s="29"/>
      <c r="D13" s="30">
        <f>SUM(D11:D12)</f>
        <v>1</v>
      </c>
      <c r="E13" s="31">
        <f>SUM(E11:E12)</f>
        <v>149.16</v>
      </c>
      <c r="F13" s="31">
        <f>SUM(F11:F12)</f>
        <v>132.42000000000002</v>
      </c>
      <c r="G13" s="32">
        <f>F13/E13</f>
        <v>0.88777152051488351</v>
      </c>
      <c r="H13" s="49">
        <f>SUM(H11:H12)</f>
        <v>0.88943205858421481</v>
      </c>
    </row>
    <row r="14" spans="1:8" s="1" customFormat="1" x14ac:dyDescent="0.2">
      <c r="A14" s="75" t="s">
        <v>20</v>
      </c>
      <c r="B14" s="65"/>
      <c r="C14" s="33"/>
      <c r="D14" s="34"/>
      <c r="E14" s="35" t="s">
        <v>25</v>
      </c>
      <c r="F14" s="36"/>
      <c r="G14" s="36"/>
      <c r="H14" s="37"/>
    </row>
    <row r="15" spans="1:8" s="1" customFormat="1" ht="15" x14ac:dyDescent="0.2">
      <c r="A15" s="38"/>
      <c r="B15" s="39"/>
      <c r="C15" s="40"/>
      <c r="D15" s="40"/>
      <c r="E15" s="40"/>
      <c r="F15" s="40"/>
      <c r="G15" s="40"/>
      <c r="H15" s="41"/>
    </row>
    <row r="16" spans="1:8" s="1" customFormat="1" ht="15" x14ac:dyDescent="0.2">
      <c r="A16" s="42"/>
      <c r="B16" s="43"/>
      <c r="C16" s="44"/>
      <c r="D16" s="44"/>
      <c r="E16" s="44"/>
      <c r="F16" s="44"/>
      <c r="G16" s="44"/>
      <c r="H16" s="45"/>
    </row>
    <row r="17" spans="1:8" s="1" customFormat="1" ht="15" x14ac:dyDescent="0.2">
      <c r="A17" s="42"/>
      <c r="B17" s="43"/>
      <c r="C17" s="44"/>
      <c r="D17" s="44"/>
      <c r="E17" s="44"/>
      <c r="F17" s="44"/>
      <c r="G17" s="44"/>
      <c r="H17" s="45"/>
    </row>
    <row r="18" spans="1:8" s="1" customFormat="1" x14ac:dyDescent="0.2">
      <c r="A18" s="76" t="s">
        <v>21</v>
      </c>
      <c r="B18" s="77"/>
      <c r="C18" s="51" t="s">
        <v>29</v>
      </c>
      <c r="D18" s="66" t="s">
        <v>30</v>
      </c>
      <c r="E18" s="66"/>
      <c r="F18" s="16"/>
      <c r="G18" s="46" t="s">
        <v>22</v>
      </c>
      <c r="H18" s="17"/>
    </row>
    <row r="19" spans="1:8" s="1" customFormat="1" ht="15" x14ac:dyDescent="0.2">
      <c r="A19" s="14"/>
      <c r="B19" s="15"/>
      <c r="C19" s="16"/>
      <c r="D19" s="16"/>
      <c r="E19" s="16"/>
      <c r="F19" s="16"/>
      <c r="G19" s="16"/>
      <c r="H19" s="17"/>
    </row>
    <row r="20" spans="1:8" s="1" customFormat="1" ht="15" x14ac:dyDescent="0.2">
      <c r="A20" s="52"/>
      <c r="B20" s="53"/>
      <c r="C20" s="54"/>
      <c r="D20" s="54"/>
      <c r="E20" s="54"/>
      <c r="F20" s="54"/>
      <c r="G20" s="54"/>
      <c r="H20" s="55"/>
    </row>
    <row r="21" spans="1:8" s="1" customFormat="1" ht="15" x14ac:dyDescent="0.2">
      <c r="A21" s="56"/>
      <c r="B21" s="57"/>
      <c r="C21" s="58"/>
      <c r="D21" s="58"/>
      <c r="E21" s="58"/>
      <c r="F21" s="58"/>
      <c r="G21" s="58"/>
      <c r="H21" s="59"/>
    </row>
    <row r="22" spans="1:8" s="1" customFormat="1" ht="15" x14ac:dyDescent="0.2">
      <c r="A22" s="60"/>
      <c r="B22" s="61"/>
      <c r="C22" s="62"/>
      <c r="D22" s="62"/>
      <c r="E22" s="62"/>
      <c r="F22" s="62"/>
      <c r="G22" s="62"/>
      <c r="H22" s="63"/>
    </row>
  </sheetData>
  <mergeCells count="13">
    <mergeCell ref="C9:C10"/>
    <mergeCell ref="D18:E18"/>
    <mergeCell ref="A1:H1"/>
    <mergeCell ref="A2:H2"/>
    <mergeCell ref="A3:B3"/>
    <mergeCell ref="A4:B4"/>
    <mergeCell ref="A5:B5"/>
    <mergeCell ref="A13:B13"/>
    <mergeCell ref="A14:B14"/>
    <mergeCell ref="A18:B18"/>
    <mergeCell ref="A6:B6"/>
    <mergeCell ref="A9:A10"/>
    <mergeCell ref="B9:B10"/>
  </mergeCells>
  <pageMargins left="0.7" right="0.7" top="0.75" bottom="0.75" header="0.3" footer="0.3"/>
  <pageSetup scale="66" orientation="landscape" r:id="rId1"/>
  <ignoredErrors>
    <ignoredError sqref="G13" formula="1"/>
    <ignoredError sqref="E13"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July'26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Golam Sarwar Gazi, Strategy and Operations Analyst-AOPL</dc:creator>
  <cp:lastModifiedBy>Joy Dhon Chakma</cp:lastModifiedBy>
  <cp:lastPrinted>2026-09-10T06:51:47Z</cp:lastPrinted>
  <dcterms:created xsi:type="dcterms:W3CDTF">2023-05-07T03:12:07Z</dcterms:created>
  <dcterms:modified xsi:type="dcterms:W3CDTF">2026-10-06T04:59:47Z</dcterms:modified>
</cp:coreProperties>
</file>